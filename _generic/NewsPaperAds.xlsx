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mpPaper" sheetId="1" state="visible" r:id="rId3"/>
    <sheet name="Mail-In" sheetId="2" state="visible" r:id="rId4"/>
    <sheet name="Mail-Ou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<sst xmlns="http://schemas.openxmlformats.org/spreadsheetml/2006/main" count="251" uniqueCount="177">
  <si>
    <t xml:space="preserve">Date</t>
  </si>
  <si>
    <t xml:space="preserve">Ticker</t>
  </si>
  <si>
    <t xml:space="preserve">StampPaper</t>
  </si>
  <si>
    <t xml:space="preserve">Date Printed</t>
  </si>
  <si>
    <t xml:space="preserve">FuelAdjustment</t>
  </si>
  <si>
    <t xml:space="preserve">NewsPaperE</t>
  </si>
  <si>
    <t xml:space="preserve">NewsPaperU</t>
  </si>
  <si>
    <t xml:space="preserve">Cost</t>
  </si>
  <si>
    <t xml:space="preserve">RunTot</t>
  </si>
  <si>
    <t xml:space="preserve">Link</t>
  </si>
  <si>
    <t xml:space="preserve">eng</t>
  </si>
  <si>
    <t xml:space="preserve">NoteGitHub</t>
  </si>
  <si>
    <t xml:space="preserve">HABSM</t>
  </si>
  <si>
    <t xml:space="preserve">The Nation</t>
  </si>
  <si>
    <t xml:space="preserve">Express News</t>
  </si>
  <si>
    <t xml:space="preserve">https://www.express.com.pk/epaper/index.aspx?Issue=NP_LHE&amp;Page=Classified_PageC007&amp;Date=20260514&amp;Pageno=7&amp;View=1</t>
  </si>
  <si>
    <t xml:space="preserve">https://www.nation.com.pk/E-Paper/lahore/2026-05-14/page-4</t>
  </si>
  <si>
    <t xml:space="preserve">EXIDE</t>
  </si>
  <si>
    <t xml:space="preserve">LCI</t>
  </si>
  <si>
    <t xml:space="preserve">https://www.nation.com.pk/E-Paper/lahore/2026-05-30/page-4</t>
  </si>
  <si>
    <t xml:space="preserve">SITC</t>
  </si>
  <si>
    <t xml:space="preserve">https://www.express.com.pk/epaper/index.aspx?Issue=NP_LHE&amp;Page=Classified_PageC007&amp;Date=20260530&amp;Pageno=7&amp;View=1</t>
  </si>
  <si>
    <t xml:space="preserve">From</t>
  </si>
  <si>
    <t xml:space="preserve">ticker</t>
  </si>
  <si>
    <t xml:space="preserve">Ref</t>
  </si>
  <si>
    <t xml:space="preserve">Subject</t>
  </si>
  <si>
    <t xml:space="preserve">Notes</t>
  </si>
  <si>
    <t xml:space="preserve">Action</t>
  </si>
  <si>
    <t xml:space="preserve">MarkInGitHub</t>
  </si>
  <si>
    <t xml:space="preserve">ATRL</t>
  </si>
  <si>
    <t xml:space="preserve">FAMCO does not provide registration services for ATRL, contact the relevant registrar.</t>
  </si>
  <si>
    <t xml:space="preserve">resent</t>
  </si>
  <si>
    <t xml:space="preserve">RMPL</t>
  </si>
  <si>
    <t xml:space="preserve">Nishat Mills Limited has purchased RMPL and sent an offer letter to buy RMPL @Rs9,800.</t>
  </si>
  <si>
    <t xml:space="preserve">replied</t>
  </si>
  <si>
    <t xml:space="preserve">ATLH</t>
  </si>
  <si>
    <t xml:space="preserve">PHONE CALL</t>
  </si>
  <si>
    <t xml:space="preserve">Received phone call from Khalid of JSGlobal asking for ShareTransfer Stamps worth Rs6,000.</t>
  </si>
  <si>
    <t xml:space="preserve">Asked to send a letter stating the needful.</t>
  </si>
  <si>
    <t xml:space="preserve">CNERGYICO</t>
  </si>
  <si>
    <t xml:space="preserve">CNERGY – 705</t>
  </si>
  <si>
    <t xml:space="preserve">Received 2+1+1 certificates for 234+233+233 shares duly transmitted in heirs’ names.</t>
  </si>
  <si>
    <t xml:space="preserve">Handed over to RMAK his and RMIK’s certificates with their Transferred Deeds, signed and attached copy of MIK’s cnic with both.</t>
  </si>
  <si>
    <t xml:space="preserve">HALEON</t>
  </si>
  <si>
    <t xml:space="preserve">Mandatory Registration Details for Credit of Final Cash Dividend</t>
  </si>
  <si>
    <t xml:space="preserve">Initiate transmission.</t>
  </si>
  <si>
    <t xml:space="preserve">Responded with request for Member Share Holding Report from the Registrar: CDCSR</t>
  </si>
  <si>
    <t xml:space="preserve">JSGCL</t>
  </si>
  <si>
    <t xml:space="preserve">MARI</t>
  </si>
  <si>
    <t xml:space="preserve">Please provide Clear &amp; Visible CNIC Copy’s for Gift Deed</t>
  </si>
  <si>
    <t xml:space="preserve">of, MIK, SF, RMAK, RMIK</t>
  </si>
  <si>
    <t xml:space="preserve">Sent via PAKPOST: RGL</t>
  </si>
  <si>
    <t xml:space="preserve">UPFL</t>
  </si>
  <si>
    <t xml:space="preserve">UPFL: Intimation of Book Closure Notice</t>
  </si>
  <si>
    <t xml:space="preserve">Folio Nr: 49</t>
  </si>
  <si>
    <t xml:space="preserve">no action required.</t>
  </si>
  <si>
    <t xml:space="preserve">FAMCO</t>
  </si>
  <si>
    <t xml:space="preserve">RMPL-3553</t>
  </si>
  <si>
    <t xml:space="preserve">RMPL – Transmission case of Late Mohammad Ayub Khan against folio No. 567</t>
  </si>
  <si>
    <t xml:space="preserve">Transfer receipts: 
MIK, 2600000776, 15-05-2026, 28
RMAK, 2600000777, 15-05-2026, 27
RMIK, 2600000778, 15-05-2026, 27
Received 2 share certificates representing 55 shares
17014,6136468-6136517,50
17215,6136518-6136522,5
</t>
  </si>
  <si>
    <t xml:space="preserve">Contact CDC-SR and inform of possession of 55 shares of Rafhan Best Foods Limited. Now Unilever Foods Limited (UFL)</t>
  </si>
  <si>
    <t xml:space="preserve">PKGS</t>
  </si>
  <si>
    <t xml:space="preserve">PF-6734</t>
  </si>
  <si>
    <t xml:space="preserve">Packages Limited Transmission case of Late Mohammad Ayub Khan against Folio Nr. 4294</t>
  </si>
  <si>
    <t xml:space="preserve">Transfer receipts:
MIK, 2600002340, 04-05-2026, 184
RMAK, 2600002341, 04-05-2026, 183
RMIK, 2600002342, 04-05-2026, 183
Received 0 share certificates.
That: The Share Certificates will be ready within fifteen (15) days of date hereof which will be dispatched by courier to your address registered with us.</t>
  </si>
  <si>
    <t xml:space="preserve">Wait till 22-May-2026 to receive the physical Share Certificates (with system generated Transfer Deed)</t>
  </si>
  <si>
    <t xml:space="preserve">ABOT</t>
  </si>
  <si>
    <t xml:space="preserve">Abbott-8070</t>
  </si>
  <si>
    <t xml:space="preserve">Abbott Laboratories (Pakistan) Limited, Transmission case of Late Mohammad Ayub Khan against Folio Nr. 2715</t>
  </si>
  <si>
    <t xml:space="preserve">Received.
Transfer receipts:
MIK, 2600001882, 04-05-2026, 423
RMAK, 2600001883, 04-05-2026, 423
RMIK, 2600001884, 04-05-2026, 423
Received 0 share certificates.
That: The Share Certificates will be ready within fifteen (15) days of date hereof which will be dispatched by courier to your address registered with us.</t>
  </si>
  <si>
    <t xml:space="preserve">WAFI</t>
  </si>
  <si>
    <t xml:space="preserve">WAFI-18161</t>
  </si>
  <si>
    <t xml:space="preserve">WAFI Energy Pakisgtan Limited (Formerly: Shell Pakistan Limited), Transmission case of Late Mohammad Ayub Khan against Folio Nr. KHAN0309</t>
  </si>
  <si>
    <t xml:space="preserve">Received. 
Transfer receipts: 
MIK, 2600007084, 04-05-2026, 590 
RMAK, 2600007085, 04-05-2026, 589 
RMIK, 2600007086, 04-05-2026, 589 
Received 0 share certificates. 
That: The Share Certificates will be ready within fifteen (15) days of date hereof which will be dispatched by courier to your address registered with us.</t>
  </si>
  <si>
    <t xml:space="preserve">WAFI-18180</t>
  </si>
  <si>
    <t xml:space="preserve">Received.
10+8+12 Total (30) certificates for 590+589+589=1,768 shares duly transmitted in the names of the legal heirs. Details:
S0001463, MIK, 10, 590
S0001464, RMAK, 8, 589
S0001465, RMIK, 12, 589</t>
  </si>
  <si>
    <t xml:space="preserve">Acknowledge receipt.</t>
  </si>
  <si>
    <t xml:space="preserve">PPL</t>
  </si>
  <si>
    <t xml:space="preserve">PPL-56738</t>
  </si>
  <si>
    <t xml:space="preserve">Pakistan Petroleum Limited, Transmission case of Late Mohammad Ayub Khan against Folio Nr. X000561</t>
  </si>
  <si>
    <t xml:space="preserve">Received.
4+4+5 Total (13) certificates for 661+660+660=1,981 shares duly transmitted in the names of the legal heirs. Details:
2600060801, X004148, MIK, 4, 661
2600060802, X004149, RMAK, 4, 660
2600060803, X004150, RMIK, 5, 660</t>
  </si>
  <si>
    <t xml:space="preserve">PL-6751</t>
  </si>
  <si>
    <t xml:space="preserve">Packages Limited, Transmission case of Late Mohammad Ayub Khan against Folio Nr. 4294</t>
  </si>
  <si>
    <t xml:space="preserve">Received.
7+4+9 total (20) certificates for 184+183+183=550 shares duly tranmitted in the names of the legal heirs. Details:
8629, MIK, 7, 184
8630, RMAK, 4, 183
8631, RMIK,9, 183</t>
  </si>
  <si>
    <t xml:space="preserve">RBPL</t>
  </si>
  <si>
    <t xml:space="preserve">RBPL-334</t>
  </si>
  <si>
    <t xml:space="preserve">Reckitt Benckiser Pakistan Limited, Transmission case of Late Mohammad Ayub Khan against folio nr 2872 &amp; 4727</t>
  </si>
  <si>
    <t xml:space="preserve">Received. 
Transfer receipts: 
MIK, 2600000027, 19-05-2026, 7 
RMAK, 2600000028, 19-05-2026, 7 
RMIK, 2600000029, 19-05-2026, 7 
Received 0 share certificates. 
That: The Share Certificates will be ready within fifteen (15) days of date hereof which will be dispatched by courier to your address registered with us.</t>
  </si>
  <si>
    <t xml:space="preserve">Wait till 11-June-2026 to receive the physical Share Certificates (with system generated Transfer Deed)</t>
  </si>
  <si>
    <t xml:space="preserve">CNERGY – 706</t>
  </si>
  <si>
    <t xml:space="preserve">CNERGYICO PK Limited, Verification of Transfer Deed (Folio Nr. 6403)</t>
  </si>
  <si>
    <t xml:space="preserve">Submit physical shares and TD with JSGCL</t>
  </si>
  <si>
    <t xml:space="preserve">Unilever Pakistan Limited</t>
  </si>
  <si>
    <t xml:space="preserve">ULEVER</t>
  </si>
  <si>
    <t xml:space="preserve">ULEVER-2601</t>
  </si>
  <si>
    <t xml:space="preserve">Intimation of Book Closure Notice</t>
  </si>
  <si>
    <t xml:space="preserve">Co: Unilever Pakistan Limited, Folio Nr:401, dividend Rs700 per share</t>
  </si>
  <si>
    <t xml:space="preserve">LOTCHEM</t>
  </si>
  <si>
    <t xml:space="preserve">3080 -LCPL</t>
  </si>
  <si>
    <t xml:space="preserve">Notice for unclaimed dividends # D-11, D-12</t>
  </si>
  <si>
    <t xml:space="preserve">Notice of Extraordinary General Meeting.</t>
  </si>
  <si>
    <t xml:space="preserve">date</t>
  </si>
  <si>
    <t xml:space="preserve">To</t>
  </si>
  <si>
    <t xml:space="preserve">ref</t>
  </si>
  <si>
    <t xml:space="preserve">RGL</t>
  </si>
  <si>
    <t xml:space="preserve">2602-2</t>
  </si>
  <si>
    <t xml:space="preserve">RGL166511776</t>
  </si>
  <si>
    <t xml:space="preserve">Submit IB</t>
  </si>
  <si>
    <t xml:space="preserve">NML-RMPL – 2601</t>
  </si>
  <si>
    <t xml:space="preserve">RGL166511775</t>
  </si>
  <si>
    <t xml:space="preserve">Inquired ext steps for Offer Letter</t>
  </si>
  <si>
    <t xml:space="preserve">CNERGY</t>
  </si>
  <si>
    <t xml:space="preserve">CNERY-2601</t>
  </si>
  <si>
    <t xml:space="preserve">RGL166511779</t>
  </si>
  <si>
    <t xml:space="preserve">Signature verification</t>
  </si>
  <si>
    <t xml:space="preserve"> MARI – 2601</t>
  </si>
  <si>
    <t xml:space="preserve">email: gift deed attached</t>
  </si>
  <si>
    <t xml:space="preserve">CDC-SR</t>
  </si>
  <si>
    <t xml:space="preserve"> HALEON – 2601</t>
  </si>
  <si>
    <t xml:space="preserve">RGL158521956</t>
  </si>
  <si>
    <t xml:space="preserve">Member Share Holding Report - Late Mohammad Ayub Khan, CNIC: 35200-1521538-7 </t>
  </si>
  <si>
    <t xml:space="preserve">Request for Member Share Holding Certificate</t>
  </si>
  <si>
    <t xml:space="preserve">MARI-2602</t>
  </si>
  <si>
    <t xml:space="preserve">RGL158521964</t>
  </si>
  <si>
    <t xml:space="preserve">Gift Deed - Clear Copies of CNIC of deed signatories</t>
  </si>
  <si>
    <t xml:space="preserve">enclosed copies of CNIC, MAK, SF, RMAK, RMIK</t>
  </si>
  <si>
    <t xml:space="preserve">email</t>
  </si>
  <si>
    <t xml:space="preserve">Re: Please provide Clear &amp; Visible CNIC Copy's for Gift Deed</t>
  </si>
  <si>
    <t xml:space="preserve">Mr. Khalid Pervez: khalid.pervez@js.com, via PAKPOST dispatched</t>
  </si>
  <si>
    <t xml:space="preserve">RBF</t>
  </si>
  <si>
    <t xml:space="preserve">RBF-2601</t>
  </si>
  <si>
    <t xml:space="preserve">RGL158521970</t>
  </si>
  <si>
    <t xml:space="preserve">Transmission of Shares and Dividends – Late Mohammad Ayub Khan, CNIC: 35200-1521538-7
    1. Rafhan Best Foods Limited (RBF)- Folio # 567</t>
  </si>
  <si>
    <t xml:space="preserve">That in possession of RBF (55) shares, duly transferred in legal heirs’ names; advise next steps.</t>
  </si>
  <si>
    <t xml:space="preserve">PKGS-2601</t>
  </si>
  <si>
    <t xml:space="preserve">RGL158521987</t>
  </si>
  <si>
    <t xml:space="preserve">Transfer Deed for Signature Verification</t>
  </si>
  <si>
    <t xml:space="preserve">PKGS-2602</t>
  </si>
  <si>
    <t xml:space="preserve">RGL158521988</t>
  </si>
  <si>
    <t xml:space="preserve">Acknowledgment receipt of shares </t>
  </si>
  <si>
    <t xml:space="preserve">PPL-2601</t>
  </si>
  <si>
    <t xml:space="preserve">RGL158521986</t>
  </si>
  <si>
    <t xml:space="preserve">PPL-2602</t>
  </si>
  <si>
    <t xml:space="preserve">WAFI-2601</t>
  </si>
  <si>
    <t xml:space="preserve">RGL158521985</t>
  </si>
  <si>
    <t xml:space="preserve">WAFI-2602</t>
  </si>
  <si>
    <t xml:space="preserve">THKA</t>
  </si>
  <si>
    <t xml:space="preserve">EXIDE-2601</t>
  </si>
  <si>
    <t xml:space="preserve">RGL158522012</t>
  </si>
  <si>
    <t xml:space="preserve">Transmission of =298= Shares and Unclaimed Dividends held by Late Mohammad Ayub Khan, 1. EXIDE Pakistan Limited, Folio Nr. 580</t>
  </si>
  <si>
    <t xml:space="preserve">wait for response</t>
  </si>
  <si>
    <t xml:space="preserve">RGL158522033</t>
  </si>
  <si>
    <t xml:space="preserve">Member Share Holding Report - Late Mohammad Ayub Khan, CNIC: 35200-1521538-7
    1. Unilever Pakistan Limited, ULEVER, Folio #: 401</t>
  </si>
  <si>
    <t xml:space="preserve">LOTCHEM-2601</t>
  </si>
  <si>
    <t xml:space="preserve">RGL158483366</t>
  </si>
  <si>
    <t xml:space="preserve">Transmission of Shares and Dividends - Late Mohammad Ayub Khan
    1. Lotte Chemical Pakistan Limited- Folio # 61463</t>
  </si>
  <si>
    <t xml:space="preserve">KEL</t>
  </si>
  <si>
    <t xml:space="preserve">JSCGL- KEL – 2603</t>
  </si>
  <si>
    <t xml:space="preserve">RGL158522037</t>
  </si>
  <si>
    <t xml:space="preserve">8 Securities submitted for Book Entry Conversion rejected
    1. K-Electric Limited (KEL)- Folio # 17380</t>
  </si>
  <si>
    <t xml:space="preserve">EMAIL</t>
  </si>
  <si>
    <t xml:space="preserve">ENGROH</t>
  </si>
  <si>
    <t xml:space="preserve">ENGROH-2602</t>
  </si>
  <si>
    <t xml:space="preserve">LOSS / MISSING SHARE CERTIFICATES AND TRANSMISSION OF SHARES IN THE NAME OF MOHAMMAD AYUB KHAN BE EXCHANGED WITH NEW SHARE CERTIFICATES
    1. ENGRO HOLDINGS LIMITED (FORMERLY: DAWOOD HERCULES CORPORATION LIMITED- Folio #: KHAN0384</t>
  </si>
  <si>
    <t xml:space="preserve">IB, PN with corrigendum</t>
  </si>
  <si>
    <t xml:space="preserve">HABSM – 2601</t>
  </si>
  <si>
    <t xml:space="preserve">Transmission of =13,775= Shares and Unclaimed Dividends held by Late Mohammad Ayub Khan
    1. Habib Sugar Mills Limited, Folio Nr. 9840</t>
  </si>
  <si>
    <t xml:space="preserve">IB, pn, eng, urdu, submitted for transmission</t>
  </si>
  <si>
    <t xml:space="preserve">LCI-AKZO-LCPL-61463-2603</t>
  </si>
  <si>
    <t xml:space="preserve">RGL158522055</t>
  </si>
  <si>
    <t xml:space="preserve">Transmission of Shares and Unclaimed Dividends of Late Mohammad Ayub Khan against Folio #: 61463 
    1. LUCKY CORE INDUSTRIES LIMITED (FORMERLY: ICI PAKISTAN LIMITED)
    2. AKZO NOBEL PAKISTAN LIMITED
    3. LOTTE CHEMICAL PAKISTAN LIMITED</t>
  </si>
  <si>
    <t xml:space="preserve">distinctive Number corrigendum-PN
Signature of guar1, 2 and applicant</t>
  </si>
  <si>
    <t xml:space="preserve">CDCSR-LHR</t>
  </si>
  <si>
    <t xml:space="preserve">SNGP</t>
  </si>
  <si>
    <t xml:space="preserve">MAK-SNGP-2603</t>
  </si>
  <si>
    <t xml:space="preserve">Transmission Case - SNGPL - Late Mohammad Ayub Khan, Folio Nr: 125005252</t>
  </si>
  <si>
    <t xml:space="preserve">Inquired about status of transmission case, via email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</si>
</sst>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ation.com.pk/E-Paper/lahore/2026-05-30/page-4" TargetMode="External"/><Relationship Id="rId2" Type="http://schemas.openxmlformats.org/officeDocument/2006/relationships/hyperlink" Target="https://www.nation.com.pk/E-Paper/lahore/2026-05-30/page-4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halid.pervez@js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false" hidden="false" outlineLevel="0" max="4" min="4" style="1" width="11.53"/>
    <col collapsed="false" customWidth="true" hidden="false" outlineLevel="0" max="5" min="5" style="2" width="14.79"/>
    <col collapsed="false" customWidth="true" hidden="false" outlineLevel="0" max="7" min="7" style="3" width="13.69"/>
    <col collapsed="false" customWidth="false" hidden="false" outlineLevel="0" max="9" min="9" style="2" width="11.53"/>
  </cols>
  <sheetData>
    <row r="1" customFormat="false" ht="12.8" hidden="false" customHeight="false" outlineLevel="0" collapsed="false">
      <c r="A1" s="1" t="s">
        <v>0</v>
      </c>
      <c r="B1" s="4" t="s">
        <v>1</v>
      </c>
      <c r="C1" s="4" t="s">
        <v>2</v>
      </c>
      <c r="D1" s="5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1" t="n">
        <v>46155</v>
      </c>
      <c r="B2" s="3" t="s">
        <v>12</v>
      </c>
      <c r="C2" s="3" t="n">
        <v>1600</v>
      </c>
      <c r="D2" s="1" t="n">
        <v>46155</v>
      </c>
      <c r="F2" s="3" t="s">
        <v>13</v>
      </c>
      <c r="G2" s="3" t="s">
        <v>14</v>
      </c>
      <c r="H2" s="3" t="n">
        <v>3500</v>
      </c>
      <c r="I2" s="2" t="n">
        <f aca="false">C2+E2+H2</f>
        <v>5100</v>
      </c>
      <c r="J2" s="3" t="s">
        <v>15</v>
      </c>
      <c r="K2" s="3" t="s">
        <v>16</v>
      </c>
      <c r="L2" s="3" t="n">
        <v>1</v>
      </c>
    </row>
    <row r="3" customFormat="false" ht="12.8" hidden="false" customHeight="false" outlineLevel="0" collapsed="false">
      <c r="A3" s="1" t="n">
        <v>46155</v>
      </c>
      <c r="B3" s="3" t="s">
        <v>17</v>
      </c>
      <c r="C3" s="3" t="n">
        <v>1600</v>
      </c>
      <c r="D3" s="1" t="n">
        <v>46155</v>
      </c>
      <c r="E3" s="2" t="n">
        <f aca="false">14.4*48</f>
        <v>691.2</v>
      </c>
      <c r="H3" s="3"/>
      <c r="I3" s="2" t="n">
        <f aca="false">I2+C3+E3+H3</f>
        <v>7391.2</v>
      </c>
    </row>
    <row r="4" customFormat="false" ht="12.8" hidden="false" customHeight="false" outlineLevel="0" collapsed="false">
      <c r="A4" s="1" t="n">
        <v>46172</v>
      </c>
      <c r="B4" s="3" t="s">
        <v>18</v>
      </c>
      <c r="D4" s="1" t="n">
        <v>46172</v>
      </c>
      <c r="F4" s="3" t="s">
        <v>13</v>
      </c>
      <c r="H4" s="3" t="n">
        <v>1367</v>
      </c>
      <c r="I4" s="2" t="n">
        <f aca="false">H4</f>
        <v>1367</v>
      </c>
      <c r="J4" s="6" t="s">
        <v>19</v>
      </c>
    </row>
    <row r="5" customFormat="false" ht="12.8" hidden="false" customHeight="false" outlineLevel="0" collapsed="false">
      <c r="A5" s="1" t="n">
        <v>46172</v>
      </c>
      <c r="B5" s="3" t="s">
        <v>20</v>
      </c>
      <c r="D5" s="1" t="n">
        <v>46172</v>
      </c>
      <c r="F5" s="3" t="s">
        <v>13</v>
      </c>
      <c r="H5" s="3" t="n">
        <v>1367</v>
      </c>
      <c r="I5" s="2" t="n">
        <f aca="false">I4+H5</f>
        <v>2734</v>
      </c>
      <c r="J5" s="6" t="s">
        <v>19</v>
      </c>
    </row>
    <row r="6" customFormat="false" ht="12.8" hidden="false" customHeight="false" outlineLevel="0" collapsed="false">
      <c r="A6" s="1" t="n">
        <v>46172</v>
      </c>
      <c r="B6" s="3" t="s">
        <v>20</v>
      </c>
      <c r="D6" s="1" t="n">
        <v>46172</v>
      </c>
      <c r="G6" s="3" t="s">
        <v>14</v>
      </c>
      <c r="H6" s="3" t="n">
        <v>1366</v>
      </c>
      <c r="I6" s="2" t="n">
        <f aca="false">I5+H6</f>
        <v>4100</v>
      </c>
      <c r="J6" s="3" t="s">
        <v>21</v>
      </c>
    </row>
  </sheetData>
  <hyperlinks>
    <hyperlink ref="J4" r:id="rId1" display="https://www.nation.com.pk/E-Paper/lahore/2026-05-30/page-4"/>
    <hyperlink ref="J5" r:id="rId2" display="https://www.nation.com.pk/E-Paper/lahore/2026-05-30/page-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" activePane="bottomLeft" state="frozen"/>
      <selection pane="topLeft" activeCell="A1" activeCellId="0" sqref="A1"/>
      <selection pane="bottomLeft" activeCell="A21" activeCellId="0" sqref="A2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7" width="11.53"/>
    <col collapsed="false" customWidth="true" hidden="false" outlineLevel="0" max="2" min="2" style="7" width="12.92"/>
    <col collapsed="false" customWidth="true" hidden="false" outlineLevel="0" max="3" min="3" style="8" width="12.92"/>
    <col collapsed="false" customWidth="true" hidden="false" outlineLevel="0" max="4" min="4" style="8" width="14.93"/>
    <col collapsed="false" customWidth="true" hidden="false" outlineLevel="0" max="6" min="5" style="9" width="45.44"/>
    <col collapsed="false" customWidth="true" hidden="false" outlineLevel="0" max="7" min="7" style="9" width="37.1"/>
    <col collapsed="false" customWidth="false" hidden="false" outlineLevel="0" max="16384" min="8" style="8" width="11.53"/>
  </cols>
  <sheetData>
    <row r="1" customFormat="false" ht="12.8" hidden="false" customHeight="false" outlineLevel="0" collapsed="false">
      <c r="A1" s="7" t="s">
        <v>0</v>
      </c>
      <c r="B1" s="7" t="s">
        <v>22</v>
      </c>
      <c r="C1" s="8" t="s">
        <v>23</v>
      </c>
      <c r="D1" s="8" t="s">
        <v>24</v>
      </c>
      <c r="E1" s="9" t="s">
        <v>25</v>
      </c>
      <c r="F1" s="9" t="s">
        <v>26</v>
      </c>
      <c r="G1" s="9" t="s">
        <v>27</v>
      </c>
      <c r="H1" s="8" t="s">
        <v>28</v>
      </c>
    </row>
    <row r="2" customFormat="false" ht="23.85" hidden="false" customHeight="false" outlineLevel="0" collapsed="false">
      <c r="A2" s="7" t="n">
        <v>46155</v>
      </c>
      <c r="C2" s="8" t="s">
        <v>29</v>
      </c>
      <c r="F2" s="9" t="s">
        <v>30</v>
      </c>
      <c r="G2" s="9" t="s">
        <v>31</v>
      </c>
      <c r="H2" s="8" t="n">
        <v>1</v>
      </c>
    </row>
    <row r="3" customFormat="false" ht="23.85" hidden="false" customHeight="false" outlineLevel="0" collapsed="false">
      <c r="A3" s="7" t="n">
        <v>46155</v>
      </c>
      <c r="C3" s="8" t="s">
        <v>32</v>
      </c>
      <c r="F3" s="9" t="s">
        <v>33</v>
      </c>
      <c r="G3" s="9" t="s">
        <v>34</v>
      </c>
      <c r="H3" s="8" t="n">
        <v>1</v>
      </c>
    </row>
    <row r="4" customFormat="false" ht="23.85" hidden="false" customHeight="false" outlineLevel="0" collapsed="false">
      <c r="A4" s="7" t="n">
        <v>46156</v>
      </c>
      <c r="C4" s="8" t="s">
        <v>35</v>
      </c>
      <c r="D4" s="8" t="s">
        <v>36</v>
      </c>
      <c r="F4" s="9" t="s">
        <v>37</v>
      </c>
      <c r="G4" s="9" t="s">
        <v>38</v>
      </c>
      <c r="H4" s="8" t="n">
        <v>1</v>
      </c>
    </row>
    <row r="5" customFormat="false" ht="46.25" hidden="false" customHeight="false" outlineLevel="0" collapsed="false">
      <c r="A5" s="7" t="n">
        <v>46156</v>
      </c>
      <c r="C5" s="8" t="s">
        <v>39</v>
      </c>
      <c r="D5" s="8" t="s">
        <v>40</v>
      </c>
      <c r="F5" s="9" t="s">
        <v>41</v>
      </c>
      <c r="G5" s="9" t="s">
        <v>42</v>
      </c>
      <c r="H5" s="8" t="n">
        <v>1</v>
      </c>
    </row>
    <row r="6" customFormat="false" ht="23.85" hidden="false" customHeight="false" outlineLevel="0" collapsed="false">
      <c r="A6" s="7" t="n">
        <v>46158</v>
      </c>
      <c r="C6" s="8" t="s">
        <v>43</v>
      </c>
      <c r="E6" s="9" t="s">
        <v>44</v>
      </c>
      <c r="F6" s="8" t="s">
        <v>45</v>
      </c>
      <c r="G6" s="9" t="s">
        <v>46</v>
      </c>
      <c r="H6" s="8" t="n">
        <v>1</v>
      </c>
    </row>
    <row r="7" customFormat="false" ht="23.85" hidden="false" customHeight="false" outlineLevel="0" collapsed="false">
      <c r="A7" s="7" t="n">
        <v>46160</v>
      </c>
      <c r="B7" s="7" t="s">
        <v>47</v>
      </c>
      <c r="C7" s="8" t="s">
        <v>48</v>
      </c>
      <c r="E7" s="9" t="s">
        <v>49</v>
      </c>
      <c r="F7" s="9" t="s">
        <v>50</v>
      </c>
      <c r="G7" s="9" t="s">
        <v>51</v>
      </c>
      <c r="H7" s="8" t="n">
        <v>1</v>
      </c>
    </row>
    <row r="8" customFormat="false" ht="12.8" hidden="false" customHeight="false" outlineLevel="0" collapsed="false">
      <c r="A8" s="7" t="n">
        <v>46163</v>
      </c>
      <c r="C8" s="8" t="s">
        <v>52</v>
      </c>
      <c r="E8" s="9" t="s">
        <v>53</v>
      </c>
      <c r="F8" s="9" t="s">
        <v>54</v>
      </c>
      <c r="G8" s="9" t="s">
        <v>55</v>
      </c>
    </row>
    <row r="9" customFormat="false" ht="91" hidden="false" customHeight="false" outlineLevel="0" collapsed="false">
      <c r="A9" s="7" t="n">
        <v>46163</v>
      </c>
      <c r="B9" s="7" t="s">
        <v>56</v>
      </c>
      <c r="C9" s="8" t="s">
        <v>32</v>
      </c>
      <c r="D9" s="8" t="s">
        <v>57</v>
      </c>
      <c r="E9" s="9" t="s">
        <v>58</v>
      </c>
      <c r="F9" s="9" t="s">
        <v>59</v>
      </c>
      <c r="G9" s="9" t="s">
        <v>60</v>
      </c>
      <c r="H9" s="8" t="n">
        <v>1</v>
      </c>
    </row>
    <row r="10" customFormat="false" ht="102.2" hidden="false" customHeight="false" outlineLevel="0" collapsed="false">
      <c r="A10" s="7" t="n">
        <v>46149</v>
      </c>
      <c r="B10" s="7" t="s">
        <v>56</v>
      </c>
      <c r="C10" s="8" t="s">
        <v>61</v>
      </c>
      <c r="D10" s="8" t="s">
        <v>62</v>
      </c>
      <c r="E10" s="9" t="s">
        <v>63</v>
      </c>
      <c r="F10" s="9" t="s">
        <v>64</v>
      </c>
      <c r="G10" s="9" t="s">
        <v>65</v>
      </c>
      <c r="H10" s="8" t="n">
        <v>1</v>
      </c>
    </row>
    <row r="11" customFormat="false" ht="113.4" hidden="false" customHeight="false" outlineLevel="0" collapsed="false">
      <c r="A11" s="7" t="n">
        <v>46149</v>
      </c>
      <c r="B11" s="7" t="s">
        <v>56</v>
      </c>
      <c r="C11" s="8" t="s">
        <v>66</v>
      </c>
      <c r="D11" s="8" t="s">
        <v>67</v>
      </c>
      <c r="E11" s="9" t="s">
        <v>68</v>
      </c>
      <c r="F11" s="9" t="s">
        <v>69</v>
      </c>
      <c r="G11" s="9" t="s">
        <v>65</v>
      </c>
      <c r="H11" s="8" t="n">
        <v>1</v>
      </c>
    </row>
    <row r="12" customFormat="false" ht="113.4" hidden="false" customHeight="false" outlineLevel="0" collapsed="false">
      <c r="A12" s="7" t="n">
        <v>46149</v>
      </c>
      <c r="B12" s="7" t="s">
        <v>56</v>
      </c>
      <c r="C12" s="8" t="s">
        <v>70</v>
      </c>
      <c r="D12" s="8" t="s">
        <v>71</v>
      </c>
      <c r="E12" s="9" t="s">
        <v>72</v>
      </c>
      <c r="F12" s="9" t="s">
        <v>73</v>
      </c>
      <c r="G12" s="9" t="s">
        <v>65</v>
      </c>
      <c r="H12" s="8" t="n">
        <v>1</v>
      </c>
    </row>
    <row r="13" customFormat="false" ht="79.85" hidden="false" customHeight="false" outlineLevel="0" collapsed="false">
      <c r="A13" s="7" t="n">
        <v>46165</v>
      </c>
      <c r="B13" s="7" t="s">
        <v>56</v>
      </c>
      <c r="C13" s="8" t="s">
        <v>70</v>
      </c>
      <c r="D13" s="8" t="s">
        <v>74</v>
      </c>
      <c r="E13" s="9" t="s">
        <v>72</v>
      </c>
      <c r="F13" s="9" t="s">
        <v>75</v>
      </c>
      <c r="G13" s="9" t="s">
        <v>76</v>
      </c>
      <c r="H13" s="8" t="n">
        <v>1</v>
      </c>
    </row>
    <row r="14" customFormat="false" ht="79.85" hidden="false" customHeight="false" outlineLevel="0" collapsed="false">
      <c r="A14" s="7" t="n">
        <v>46165</v>
      </c>
      <c r="B14" s="7" t="s">
        <v>56</v>
      </c>
      <c r="C14" s="8" t="s">
        <v>77</v>
      </c>
      <c r="D14" s="8" t="s">
        <v>78</v>
      </c>
      <c r="E14" s="9" t="s">
        <v>79</v>
      </c>
      <c r="F14" s="9" t="s">
        <v>80</v>
      </c>
      <c r="G14" s="9" t="s">
        <v>76</v>
      </c>
      <c r="H14" s="8" t="n">
        <v>1</v>
      </c>
    </row>
    <row r="15" customFormat="false" ht="79.85" hidden="false" customHeight="false" outlineLevel="0" collapsed="false">
      <c r="A15" s="7" t="n">
        <v>46165</v>
      </c>
      <c r="B15" s="7" t="s">
        <v>56</v>
      </c>
      <c r="C15" s="8" t="s">
        <v>61</v>
      </c>
      <c r="D15" s="8" t="s">
        <v>81</v>
      </c>
      <c r="E15" s="9" t="s">
        <v>82</v>
      </c>
      <c r="F15" s="9" t="s">
        <v>83</v>
      </c>
      <c r="G15" s="9" t="s">
        <v>76</v>
      </c>
      <c r="H15" s="8" t="n">
        <v>1</v>
      </c>
    </row>
    <row r="16" customFormat="false" ht="113.4" hidden="false" customHeight="false" outlineLevel="0" collapsed="false">
      <c r="A16" s="7" t="n">
        <v>46165</v>
      </c>
      <c r="B16" s="7" t="s">
        <v>56</v>
      </c>
      <c r="C16" s="8" t="s">
        <v>84</v>
      </c>
      <c r="D16" s="8" t="s">
        <v>85</v>
      </c>
      <c r="E16" s="9" t="s">
        <v>86</v>
      </c>
      <c r="F16" s="10" t="s">
        <v>87</v>
      </c>
      <c r="G16" s="9" t="s">
        <v>88</v>
      </c>
      <c r="H16" s="8" t="n">
        <v>1</v>
      </c>
    </row>
    <row r="17" customFormat="false" ht="23.85" hidden="false" customHeight="false" outlineLevel="0" collapsed="false">
      <c r="A17" s="7" t="n">
        <v>45069</v>
      </c>
      <c r="B17" s="7" t="s">
        <v>56</v>
      </c>
      <c r="C17" s="8" t="s">
        <v>39</v>
      </c>
      <c r="D17" s="8" t="s">
        <v>89</v>
      </c>
      <c r="E17" s="9" t="s">
        <v>90</v>
      </c>
      <c r="G17" s="9" t="s">
        <v>91</v>
      </c>
      <c r="H17" s="8" t="n">
        <v>1</v>
      </c>
    </row>
    <row r="18" customFormat="false" ht="23.85" hidden="false" customHeight="false" outlineLevel="0" collapsed="false">
      <c r="A18" s="7" t="n">
        <v>46171</v>
      </c>
      <c r="B18" s="7" t="s">
        <v>92</v>
      </c>
      <c r="C18" s="8" t="s">
        <v>93</v>
      </c>
      <c r="D18" s="8" t="s">
        <v>94</v>
      </c>
      <c r="E18" s="9" t="s">
        <v>95</v>
      </c>
      <c r="F18" s="9" t="s">
        <v>96</v>
      </c>
      <c r="H18" s="8" t="n">
        <v>1</v>
      </c>
    </row>
    <row r="19" customFormat="false" ht="12.8" hidden="false" customHeight="false" outlineLevel="0" collapsed="false">
      <c r="A19" s="7" t="n">
        <v>46172</v>
      </c>
      <c r="B19" s="7" t="s">
        <v>56</v>
      </c>
      <c r="C19" s="8" t="s">
        <v>97</v>
      </c>
      <c r="D19" s="8" t="s">
        <v>98</v>
      </c>
      <c r="E19" s="9" t="s">
        <v>99</v>
      </c>
    </row>
    <row r="20" customFormat="false" ht="12.8" hidden="false" customHeight="false" outlineLevel="0" collapsed="false">
      <c r="A20" s="7" t="n">
        <v>46172</v>
      </c>
      <c r="B20" s="7" t="s">
        <v>97</v>
      </c>
      <c r="C20" s="8" t="s">
        <v>97</v>
      </c>
      <c r="E20" s="9" t="s">
        <v>100</v>
      </c>
    </row>
    <row r="21" customFormat="false" ht="12.8" hidden="false" customHeight="false" outlineLevel="0" collapsed="false">
      <c r="A21" s="0"/>
      <c r="B21" s="0"/>
      <c r="C21" s="0"/>
      <c r="D21" s="0"/>
      <c r="E2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1" activePane="bottomLeft" state="frozen"/>
      <selection pane="topLeft" activeCell="C1" activeCellId="0" sqref="C1"/>
      <selection pane="bottomLeft" activeCell="I25" activeCellId="0" sqref="I2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1" style="7" width="11.53"/>
    <col collapsed="false" customWidth="false" hidden="false" outlineLevel="0" max="3" min="3" style="8" width="11.53"/>
    <col collapsed="false" customWidth="true" hidden="false" outlineLevel="0" max="4" min="4" style="9" width="17.88"/>
    <col collapsed="false" customWidth="true" hidden="false" outlineLevel="0" max="5" min="5" style="8" width="5.52"/>
    <col collapsed="false" customWidth="true" hidden="false" outlineLevel="0" max="6" min="6" style="8" width="15.25"/>
    <col collapsed="false" customWidth="true" hidden="false" outlineLevel="0" max="7" min="7" style="10" width="33.39"/>
    <col collapsed="false" customWidth="true" hidden="false" outlineLevel="0" max="8" min="8" style="9" width="19.4"/>
    <col collapsed="false" customWidth="false" hidden="false" outlineLevel="0" max="16384" min="9" style="8" width="11.53"/>
  </cols>
  <sheetData>
    <row r="1" customFormat="false" ht="12.8" hidden="false" customHeight="false" outlineLevel="0" collapsed="false">
      <c r="A1" s="7" t="s">
        <v>101</v>
      </c>
      <c r="B1" s="7" t="s">
        <v>102</v>
      </c>
      <c r="C1" s="8" t="s">
        <v>23</v>
      </c>
      <c r="D1" s="9" t="s">
        <v>103</v>
      </c>
      <c r="E1" s="8" t="s">
        <v>7</v>
      </c>
      <c r="F1" s="8" t="s">
        <v>104</v>
      </c>
      <c r="G1" s="10" t="s">
        <v>25</v>
      </c>
      <c r="H1" s="9" t="s">
        <v>26</v>
      </c>
      <c r="I1" s="8" t="s">
        <v>28</v>
      </c>
    </row>
    <row r="2" customFormat="false" ht="12.8" hidden="false" customHeight="false" outlineLevel="0" collapsed="false">
      <c r="A2" s="7" t="n">
        <v>46156</v>
      </c>
      <c r="C2" s="8" t="s">
        <v>29</v>
      </c>
      <c r="D2" s="9" t="s">
        <v>105</v>
      </c>
      <c r="E2" s="8" t="n">
        <v>150</v>
      </c>
      <c r="F2" s="8" t="s">
        <v>106</v>
      </c>
      <c r="H2" s="9" t="s">
        <v>107</v>
      </c>
      <c r="I2" s="8" t="n">
        <v>1</v>
      </c>
    </row>
    <row r="3" customFormat="false" ht="23.85" hidden="false" customHeight="false" outlineLevel="0" collapsed="false">
      <c r="A3" s="7" t="n">
        <v>46156</v>
      </c>
      <c r="C3" s="8" t="s">
        <v>32</v>
      </c>
      <c r="D3" s="9" t="s">
        <v>108</v>
      </c>
      <c r="E3" s="8" t="n">
        <v>60</v>
      </c>
      <c r="F3" s="8" t="s">
        <v>109</v>
      </c>
      <c r="H3" s="9" t="s">
        <v>110</v>
      </c>
      <c r="I3" s="8" t="n">
        <v>1</v>
      </c>
    </row>
    <row r="4" customFormat="false" ht="12.8" hidden="false" customHeight="false" outlineLevel="0" collapsed="false">
      <c r="A4" s="7" t="n">
        <v>46157</v>
      </c>
      <c r="C4" s="8" t="s">
        <v>111</v>
      </c>
      <c r="D4" s="9" t="s">
        <v>112</v>
      </c>
      <c r="E4" s="8" t="n">
        <v>60</v>
      </c>
      <c r="F4" s="8" t="s">
        <v>113</v>
      </c>
      <c r="H4" s="9" t="s">
        <v>114</v>
      </c>
      <c r="I4" s="8" t="n">
        <v>1</v>
      </c>
    </row>
    <row r="5" customFormat="false" ht="23.85" hidden="false" customHeight="false" outlineLevel="0" collapsed="false">
      <c r="A5" s="7" t="n">
        <v>46157</v>
      </c>
      <c r="C5" s="8" t="s">
        <v>48</v>
      </c>
      <c r="D5" s="11" t="s">
        <v>115</v>
      </c>
      <c r="E5" s="8" t="n">
        <v>0</v>
      </c>
      <c r="H5" s="9" t="s">
        <v>116</v>
      </c>
      <c r="I5" s="8" t="n">
        <v>1</v>
      </c>
    </row>
    <row r="6" customFormat="false" ht="35.05" hidden="false" customHeight="false" outlineLevel="0" collapsed="false">
      <c r="A6" s="7" t="n">
        <v>46158</v>
      </c>
      <c r="B6" s="7" t="s">
        <v>117</v>
      </c>
      <c r="C6" s="8" t="s">
        <v>43</v>
      </c>
      <c r="D6" s="11" t="s">
        <v>118</v>
      </c>
      <c r="E6" s="8" t="n">
        <v>60</v>
      </c>
      <c r="F6" s="8" t="s">
        <v>119</v>
      </c>
      <c r="G6" s="12" t="s">
        <v>120</v>
      </c>
      <c r="H6" s="9" t="s">
        <v>121</v>
      </c>
      <c r="I6" s="8" t="n">
        <v>1</v>
      </c>
    </row>
    <row r="7" customFormat="false" ht="35.05" hidden="false" customHeight="false" outlineLevel="0" collapsed="false">
      <c r="A7" s="7" t="n">
        <v>46163</v>
      </c>
      <c r="C7" s="8" t="s">
        <v>47</v>
      </c>
      <c r="D7" s="9" t="s">
        <v>122</v>
      </c>
      <c r="E7" s="8" t="n">
        <v>60</v>
      </c>
      <c r="F7" s="8" t="s">
        <v>123</v>
      </c>
      <c r="G7" s="10" t="s">
        <v>124</v>
      </c>
      <c r="H7" s="9" t="s">
        <v>125</v>
      </c>
      <c r="I7" s="8" t="n">
        <v>1</v>
      </c>
    </row>
    <row r="8" customFormat="false" ht="23.85" hidden="false" customHeight="false" outlineLevel="0" collapsed="false">
      <c r="A8" s="7" t="n">
        <v>46163</v>
      </c>
      <c r="B8" s="7" t="s">
        <v>47</v>
      </c>
      <c r="C8" s="8" t="s">
        <v>111</v>
      </c>
      <c r="F8" s="8" t="s">
        <v>126</v>
      </c>
      <c r="G8" s="10" t="s">
        <v>127</v>
      </c>
      <c r="H8" s="13" t="s">
        <v>128</v>
      </c>
      <c r="I8" s="8" t="n">
        <v>1</v>
      </c>
    </row>
    <row r="9" customFormat="false" ht="57.45" hidden="false" customHeight="false" outlineLevel="0" collapsed="false">
      <c r="A9" s="7" t="n">
        <v>46164</v>
      </c>
      <c r="B9" s="7" t="s">
        <v>117</v>
      </c>
      <c r="C9" s="8" t="s">
        <v>129</v>
      </c>
      <c r="D9" s="9" t="s">
        <v>130</v>
      </c>
      <c r="F9" s="8" t="s">
        <v>131</v>
      </c>
      <c r="G9" s="10" t="s">
        <v>132</v>
      </c>
      <c r="H9" s="9" t="s">
        <v>133</v>
      </c>
      <c r="I9" s="8" t="n">
        <v>1</v>
      </c>
    </row>
    <row r="10" customFormat="false" ht="12.8" hidden="false" customHeight="false" outlineLevel="0" collapsed="false">
      <c r="A10" s="7" t="n">
        <v>46167</v>
      </c>
      <c r="B10" s="7" t="s">
        <v>56</v>
      </c>
      <c r="C10" s="8" t="s">
        <v>61</v>
      </c>
      <c r="D10" s="9" t="s">
        <v>134</v>
      </c>
      <c r="F10" s="8" t="s">
        <v>135</v>
      </c>
      <c r="G10" s="10" t="s">
        <v>136</v>
      </c>
      <c r="I10" s="8" t="n">
        <v>1</v>
      </c>
    </row>
    <row r="11" customFormat="false" ht="12.8" hidden="false" customHeight="false" outlineLevel="0" collapsed="false">
      <c r="A11" s="7" t="n">
        <v>46167</v>
      </c>
      <c r="B11" s="7" t="s">
        <v>56</v>
      </c>
      <c r="C11" s="8" t="s">
        <v>61</v>
      </c>
      <c r="D11" s="9" t="s">
        <v>137</v>
      </c>
      <c r="F11" s="8" t="s">
        <v>138</v>
      </c>
      <c r="G11" s="10" t="s">
        <v>139</v>
      </c>
      <c r="I11" s="8" t="n">
        <v>1</v>
      </c>
    </row>
    <row r="12" customFormat="false" ht="12.8" hidden="false" customHeight="false" outlineLevel="0" collapsed="false">
      <c r="A12" s="7" t="n">
        <v>46167</v>
      </c>
      <c r="B12" s="7" t="s">
        <v>56</v>
      </c>
      <c r="C12" s="8" t="s">
        <v>77</v>
      </c>
      <c r="D12" s="9" t="s">
        <v>140</v>
      </c>
      <c r="F12" s="8" t="s">
        <v>141</v>
      </c>
      <c r="G12" s="10" t="s">
        <v>136</v>
      </c>
      <c r="I12" s="8" t="n">
        <v>1</v>
      </c>
    </row>
    <row r="13" customFormat="false" ht="12.8" hidden="false" customHeight="false" outlineLevel="0" collapsed="false">
      <c r="A13" s="7" t="n">
        <v>46167</v>
      </c>
      <c r="B13" s="7" t="s">
        <v>56</v>
      </c>
      <c r="C13" s="8" t="s">
        <v>77</v>
      </c>
      <c r="D13" s="9" t="s">
        <v>142</v>
      </c>
      <c r="F13" s="8" t="s">
        <v>138</v>
      </c>
      <c r="G13" s="10" t="s">
        <v>139</v>
      </c>
      <c r="I13" s="8" t="n">
        <v>1</v>
      </c>
    </row>
    <row r="14" customFormat="false" ht="12.8" hidden="false" customHeight="false" outlineLevel="0" collapsed="false">
      <c r="A14" s="7" t="n">
        <v>46167</v>
      </c>
      <c r="B14" s="7" t="s">
        <v>56</v>
      </c>
      <c r="C14" s="8" t="s">
        <v>70</v>
      </c>
      <c r="D14" s="9" t="s">
        <v>143</v>
      </c>
      <c r="F14" s="8" t="s">
        <v>144</v>
      </c>
      <c r="G14" s="10" t="s">
        <v>136</v>
      </c>
      <c r="I14" s="8" t="n">
        <v>1</v>
      </c>
    </row>
    <row r="15" customFormat="false" ht="12.8" hidden="false" customHeight="false" outlineLevel="0" collapsed="false">
      <c r="A15" s="7" t="n">
        <v>46167</v>
      </c>
      <c r="B15" s="7" t="s">
        <v>56</v>
      </c>
      <c r="C15" s="8" t="s">
        <v>70</v>
      </c>
      <c r="D15" s="9" t="s">
        <v>145</v>
      </c>
      <c r="F15" s="8" t="s">
        <v>138</v>
      </c>
      <c r="G15" s="10" t="s">
        <v>139</v>
      </c>
      <c r="I15" s="8" t="n">
        <v>1</v>
      </c>
    </row>
    <row r="16" customFormat="false" ht="46.25" hidden="false" customHeight="false" outlineLevel="0" collapsed="false">
      <c r="A16" s="7" t="n">
        <v>46167</v>
      </c>
      <c r="B16" s="7" t="s">
        <v>146</v>
      </c>
      <c r="C16" s="8" t="s">
        <v>17</v>
      </c>
      <c r="D16" s="9" t="s">
        <v>147</v>
      </c>
      <c r="F16" s="8" t="s">
        <v>148</v>
      </c>
      <c r="G16" s="10" t="s">
        <v>149</v>
      </c>
      <c r="H16" s="9" t="s">
        <v>150</v>
      </c>
      <c r="I16" s="8" t="n">
        <v>1</v>
      </c>
    </row>
    <row r="17" customFormat="false" ht="57.45" hidden="false" customHeight="false" outlineLevel="0" collapsed="false">
      <c r="A17" s="7" t="n">
        <v>46172</v>
      </c>
      <c r="B17" s="7" t="s">
        <v>117</v>
      </c>
      <c r="C17" s="8" t="s">
        <v>93</v>
      </c>
      <c r="D17" s="9" t="s">
        <v>94</v>
      </c>
      <c r="F17" s="8" t="s">
        <v>151</v>
      </c>
      <c r="G17" s="10" t="s">
        <v>152</v>
      </c>
      <c r="I17" s="8" t="n">
        <v>1</v>
      </c>
    </row>
    <row r="18" customFormat="false" ht="46.25" hidden="false" customHeight="false" outlineLevel="0" collapsed="false">
      <c r="A18" s="7" t="n">
        <v>46172</v>
      </c>
      <c r="B18" s="7" t="s">
        <v>56</v>
      </c>
      <c r="C18" s="8" t="s">
        <v>97</v>
      </c>
      <c r="D18" s="9" t="s">
        <v>153</v>
      </c>
      <c r="F18" s="8" t="s">
        <v>154</v>
      </c>
      <c r="G18" s="10" t="s">
        <v>155</v>
      </c>
      <c r="I18" s="8" t="n">
        <v>1</v>
      </c>
    </row>
    <row r="19" customFormat="false" ht="46.25" hidden="false" customHeight="false" outlineLevel="0" collapsed="false">
      <c r="A19" s="7" t="n">
        <v>46174</v>
      </c>
      <c r="B19" s="7" t="s">
        <v>47</v>
      </c>
      <c r="C19" s="8" t="s">
        <v>156</v>
      </c>
      <c r="D19" s="11" t="s">
        <v>157</v>
      </c>
      <c r="F19" s="8" t="s">
        <v>158</v>
      </c>
      <c r="G19" s="10" t="s">
        <v>159</v>
      </c>
      <c r="I19" s="8" t="n">
        <v>1</v>
      </c>
    </row>
    <row r="20" customFormat="false" ht="46.25" hidden="false" customHeight="false" outlineLevel="0" collapsed="false">
      <c r="A20" s="7" t="n">
        <v>46174</v>
      </c>
      <c r="B20" s="7" t="s">
        <v>47</v>
      </c>
      <c r="C20" s="8" t="s">
        <v>156</v>
      </c>
      <c r="D20" s="9" t="s">
        <v>157</v>
      </c>
      <c r="F20" s="8" t="s">
        <v>160</v>
      </c>
      <c r="G20" s="10" t="s">
        <v>159</v>
      </c>
      <c r="I20" s="8" t="n">
        <v>1</v>
      </c>
    </row>
    <row r="21" customFormat="false" ht="113.4" hidden="false" customHeight="false" outlineLevel="0" collapsed="false">
      <c r="A21" s="7" t="n">
        <v>46174</v>
      </c>
      <c r="B21" s="7" t="s">
        <v>56</v>
      </c>
      <c r="C21" s="8" t="s">
        <v>161</v>
      </c>
      <c r="D21" s="9" t="s">
        <v>162</v>
      </c>
      <c r="G21" s="10" t="s">
        <v>163</v>
      </c>
      <c r="H21" s="9" t="s">
        <v>164</v>
      </c>
      <c r="I21" s="8" t="n">
        <v>1</v>
      </c>
    </row>
    <row r="22" customFormat="false" ht="57.45" hidden="false" customHeight="false" outlineLevel="0" collapsed="false">
      <c r="A22" s="7" t="n">
        <v>46174</v>
      </c>
      <c r="B22" s="7" t="s">
        <v>146</v>
      </c>
      <c r="C22" s="8" t="s">
        <v>12</v>
      </c>
      <c r="D22" s="9" t="s">
        <v>165</v>
      </c>
      <c r="G22" s="10" t="s">
        <v>166</v>
      </c>
      <c r="H22" s="9" t="s">
        <v>167</v>
      </c>
      <c r="I22" s="8" t="n">
        <v>1</v>
      </c>
    </row>
    <row r="23" customFormat="false" ht="102.2" hidden="false" customHeight="false" outlineLevel="0" collapsed="false">
      <c r="A23" s="7" t="n">
        <v>46175</v>
      </c>
      <c r="B23" s="7" t="s">
        <v>56</v>
      </c>
      <c r="C23" s="8" t="s">
        <v>18</v>
      </c>
      <c r="D23" s="9" t="s">
        <v>168</v>
      </c>
      <c r="F23" s="8" t="s">
        <v>169</v>
      </c>
      <c r="G23" s="10" t="s">
        <v>170</v>
      </c>
      <c r="H23" s="9" t="s">
        <v>171</v>
      </c>
      <c r="I23" s="8" t="n">
        <v>1</v>
      </c>
    </row>
    <row r="24" customFormat="false" ht="35.05" hidden="false" customHeight="false" outlineLevel="0" collapsed="false">
      <c r="A24" s="7" t="n">
        <v>46177</v>
      </c>
      <c r="B24" s="7" t="s">
        <v>172</v>
      </c>
      <c r="C24" s="8" t="s">
        <v>173</v>
      </c>
      <c r="D24" s="8" t="s">
        <v>174</v>
      </c>
      <c r="E24" s="0"/>
      <c r="F24" s="14" t="s">
        <v>126</v>
      </c>
      <c r="G24" s="9" t="s">
        <v>175</v>
      </c>
      <c r="H24" s="9" t="s">
        <v>176</v>
      </c>
      <c r="I24" s="8" t="n">
        <v>1</v>
      </c>
    </row>
  </sheetData>
  <hyperlinks>
    <hyperlink ref="H8" r:id="rId1" display="Mr. Khalid Pervez: khalid.pervez@js.com, via PAKPOST dispatche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6881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2026-05-12T10:32:01Z</dcterms:created>
  <dc:creator/>
  <dc:description/>
  <dc:language>en-US</dc:language>
  <cp:lastModifiedBy/>
  <dcterms:modified xsi:type="dcterms:W3CDTF">2026-06-04T18:59:29Z</dcterms:modified>
  <cp:revision>81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