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mpPaper" sheetId="1" state="visible" r:id="rId3"/>
    <sheet name="PakPost-Out" sheetId="2" state="visible" r:id="rId4"/>
    <sheet name="Mail-I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<sst xmlns="http://schemas.openxmlformats.org/spreadsheetml/2006/main" count="34" uniqueCount="29">
  <si>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</si>
  <si>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</si>
  <si>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</si>
  <si>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</si>
  <si>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</si>
  <si>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</si>
  <si>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</si>
  <si>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</si>
  <si>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</si>
  <si>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</si>
  <si>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HABSM</t>
  </si>
  <si>
    <t xml:space="preserve">EXIDE</t>
  </si>
  <si>
    <t xml:space="preserve">The Nation</t>
  </si>
  <si>
    <t xml:space="preserve">Express News</t>
  </si>
  <si>
    <t xml:space="preserve">date</t>
  </si>
  <si>
    <t xml:space="preserve">ticker</t>
  </si>
  <si>
    <t xml:space="preserve">ref</t>
  </si>
  <si>
    <t xml:space="preserve">RGL</t>
  </si>
  <si>
    <t xml:space="preserve">ATRL</t>
  </si>
  <si>
    <t xml:space="preserve">2602-2</t>
  </si>
  <si>
    <t xml:space="preserve">RMPL</t>
  </si>
  <si>
    <t xml:space="preserve">NML-RMPL – 2601</t>
  </si>
  <si>
    <t xml:space="preserve">Ref</t>
  </si>
  <si>
    <t xml:space="preserve">Notes</t>
  </si>
  <si>
    <t xml:space="preserve">Action</t>
  </si>
  <si>
    <t xml:space="preserve">FAMCO does not provide registration services for ATRL, contact the relevant registrar.</t>
  </si>
  <si>
    <t xml:space="preserve">resent</t>
  </si>
  <si>
    <t xml:space="preserve">Nishat Mills Limited has purchased RMPL and sent an offer letter to buy RMPL @Rs9,800.</t>
  </si>
  <si>
    <t xml:space="preserve">replied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</si>
</sst>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8"/>
    <col collapsed="false" customWidth="true" hidden="false" outlineLevel="0" max="7" min="7" style="0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3" t="s">
        <v>1</v>
      </c>
      <c r="C1" s="3" t="s">
        <v>2</v>
      </c>
      <c r="D1" s="4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2" t="s">
        <v>8</v>
      </c>
      <c r="J1" s="0" t="s">
        <v>9</v>
      </c>
    </row>
    <row r="2" customFormat="false" ht="12.8" hidden="false" customHeight="false" outlineLevel="0" collapsed="false">
      <c r="A2" s="1" t="n">
        <v>46155</v>
      </c>
      <c r="B2" s="0" t="s">
        <v>10</v>
      </c>
      <c r="C2" s="0" t="n">
        <v>1600</v>
      </c>
      <c r="D2" s="1" t="n">
        <v>46155</v>
      </c>
      <c r="I2" s="2" t="n">
        <f aca="false">C2+E2+H2</f>
        <v>1600</v>
      </c>
    </row>
    <row r="3" customFormat="false" ht="12.8" hidden="false" customHeight="false" outlineLevel="0" collapsed="false">
      <c r="A3" s="1" t="n">
        <v>46155</v>
      </c>
      <c r="B3" s="0" t="s">
        <v>11</v>
      </c>
      <c r="C3" s="0" t="n">
        <v>1600</v>
      </c>
      <c r="D3" s="1" t="n">
        <v>46155</v>
      </c>
      <c r="E3" s="2" t="n">
        <f aca="false">14.4*48</f>
        <v>691.2</v>
      </c>
      <c r="F3" s="0" t="s">
        <v>12</v>
      </c>
      <c r="G3" s="0" t="s">
        <v>13</v>
      </c>
      <c r="H3" s="0" t="n">
        <v>3500</v>
      </c>
      <c r="I3" s="2" t="n">
        <f aca="false">I2+C3+E3+H3</f>
        <v>7391.2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3" min="3" style="0" width="17.87"/>
  </cols>
  <sheetData>
    <row r="1" customFormat="false" ht="12.8" hidden="false" customHeight="false" outlineLevel="0" collapsed="false">
      <c r="A1" s="1" t="s">
        <v>14</v>
      </c>
      <c r="B1" s="0" t="s">
        <v>15</v>
      </c>
      <c r="C1" s="0" t="s">
        <v>16</v>
      </c>
      <c r="D1" s="0" t="s">
        <v>7</v>
      </c>
      <c r="E1" s="0" t="s">
        <v>17</v>
      </c>
    </row>
    <row r="2" customFormat="false" ht="12.8" hidden="false" customHeight="false" outlineLevel="0" collapsed="false">
      <c r="A2" s="1" t="n">
        <v>46156</v>
      </c>
      <c r="B2" s="0" t="s">
        <v>18</v>
      </c>
      <c r="C2" s="0" t="s">
        <v>19</v>
      </c>
    </row>
    <row r="3" customFormat="false" ht="12.8" hidden="false" customHeight="false" outlineLevel="0" collapsed="false">
      <c r="A3" s="1" t="n">
        <v>46156</v>
      </c>
      <c r="B3" s="0" t="s">
        <v>20</v>
      </c>
      <c r="C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0" width="73.21"/>
  </cols>
  <sheetData>
    <row r="1" customFormat="false" ht="12.8" hidden="false" customHeight="false" outlineLevel="0" collapsed="false">
      <c r="A1" s="1" t="s">
        <v>0</v>
      </c>
      <c r="B1" s="0" t="s">
        <v>15</v>
      </c>
      <c r="C1" s="0" t="s">
        <v>22</v>
      </c>
      <c r="D1" s="0" t="s">
        <v>23</v>
      </c>
      <c r="E1" s="0" t="s">
        <v>24</v>
      </c>
    </row>
    <row r="2" customFormat="false" ht="12.8" hidden="false" customHeight="false" outlineLevel="0" collapsed="false">
      <c r="A2" s="1" t="n">
        <v>46155</v>
      </c>
      <c r="B2" s="0" t="s">
        <v>18</v>
      </c>
      <c r="D2" s="0" t="s">
        <v>25</v>
      </c>
      <c r="E2" s="0" t="s">
        <v>26</v>
      </c>
    </row>
    <row r="3" customFormat="false" ht="12.8" hidden="false" customHeight="false" outlineLevel="0" collapsed="false">
      <c r="A3" s="1" t="n">
        <v>46155</v>
      </c>
      <c r="B3" s="0" t="s">
        <v>20</v>
      </c>
      <c r="D3" s="0" t="s">
        <v>27</v>
      </c>
      <c r="E3" s="0" t="s">
        <v>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2026-05-13T19:40:33Z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